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ad\Documents\"/>
    </mc:Choice>
  </mc:AlternateContent>
  <bookViews>
    <workbookView xWindow="0" yWindow="0" windowWidth="20490" windowHeight="7500" activeTab="1"/>
  </bookViews>
  <sheets>
    <sheet name="Sheet1" sheetId="1" r:id="rId1"/>
    <sheet name="29 12 202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" l="1"/>
  <c r="C7" i="3"/>
  <c r="B7" i="3"/>
  <c r="B8" i="3" l="1"/>
  <c r="B5" i="3"/>
  <c r="C5" i="3"/>
  <c r="D5" i="3"/>
  <c r="E5" i="3"/>
  <c r="B6" i="3"/>
  <c r="C6" i="3"/>
  <c r="D6" i="3"/>
  <c r="E6" i="3"/>
  <c r="D7" i="3"/>
  <c r="E7" i="3"/>
  <c r="C8" i="3"/>
  <c r="D8" i="3"/>
  <c r="E8" i="3"/>
  <c r="B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E4" i="3"/>
  <c r="D4" i="3"/>
  <c r="C4" i="3"/>
  <c r="B4" i="3"/>
</calcChain>
</file>

<file path=xl/sharedStrings.xml><?xml version="1.0" encoding="utf-8"?>
<sst xmlns="http://schemas.openxmlformats.org/spreadsheetml/2006/main" count="53" uniqueCount="30">
  <si>
    <t>Date</t>
  </si>
  <si>
    <t>Paper</t>
  </si>
  <si>
    <t>Code</t>
  </si>
  <si>
    <t>Timing</t>
  </si>
  <si>
    <t>Day</t>
  </si>
  <si>
    <t>Monday</t>
  </si>
  <si>
    <t>Tuesday</t>
  </si>
  <si>
    <t>Wednesday</t>
  </si>
  <si>
    <t>Saturday</t>
  </si>
  <si>
    <t>Thursday</t>
  </si>
  <si>
    <t>PF LAB</t>
  </si>
  <si>
    <t>AP LAB</t>
  </si>
  <si>
    <t xml:space="preserve">ICT </t>
  </si>
  <si>
    <t>PF</t>
  </si>
  <si>
    <t>ENGLISH</t>
  </si>
  <si>
    <t>AP</t>
  </si>
  <si>
    <t>M1-26369</t>
  </si>
  <si>
    <t>M1-26371</t>
  </si>
  <si>
    <t>M1-26373</t>
  </si>
  <si>
    <t>M1-26368</t>
  </si>
  <si>
    <t>M1-26370</t>
  </si>
  <si>
    <t>M1-26367</t>
  </si>
  <si>
    <t>M1-26372</t>
  </si>
  <si>
    <t>M1-26374</t>
  </si>
  <si>
    <t>10:45-12:15</t>
  </si>
  <si>
    <t>2:15-3:45</t>
  </si>
  <si>
    <t>1:30-4:30</t>
  </si>
  <si>
    <t>9:30-12:30</t>
  </si>
  <si>
    <t xml:space="preserve">IT LAB </t>
  </si>
  <si>
    <t>CALCULUS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</si>
</sst>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3"/>
  <sheetViews>
    <sheetView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1.42578125" bestFit="1" customWidth="1"/>
    <col min="4" max="4" width="9.85546875" bestFit="1" customWidth="1"/>
    <col min="5" max="5" width="10.85546875" bestFit="1" customWidth="1"/>
  </cols>
  <sheetData>
    <row r="4" spans="1:5" x14ac:dyDescent="0.25">
      <c r="A4" t="s">
        <v>2</v>
      </c>
      <c r="B4" t="s">
        <v>0</v>
      </c>
      <c r="C4" t="s">
        <v>4</v>
      </c>
      <c r="D4" t="s">
        <v>1</v>
      </c>
      <c r="E4" t="s">
        <v>3</v>
      </c>
    </row>
    <row r="6" spans="1:5" x14ac:dyDescent="0.25">
      <c r="A6" s="2" t="s">
        <v>16</v>
      </c>
      <c r="B6" s="1">
        <v>46020</v>
      </c>
      <c r="C6" t="s">
        <v>5</v>
      </c>
      <c r="D6" t="s">
        <v>28</v>
      </c>
      <c r="E6" t="s">
        <v>24</v>
      </c>
    </row>
    <row r="7" spans="1:5" x14ac:dyDescent="0.25">
      <c r="A7" s="2" t="s">
        <v>17</v>
      </c>
      <c r="B7" s="1">
        <v>46021</v>
      </c>
      <c r="C7" t="s">
        <v>6</v>
      </c>
      <c r="D7" t="s">
        <v>10</v>
      </c>
      <c r="E7" t="s">
        <v>24</v>
      </c>
    </row>
    <row r="8" spans="1:5" x14ac:dyDescent="0.25">
      <c r="A8" s="2" t="s">
        <v>18</v>
      </c>
      <c r="B8" s="1">
        <v>46022</v>
      </c>
      <c r="C8" t="s">
        <v>7</v>
      </c>
      <c r="D8" t="s">
        <v>11</v>
      </c>
      <c r="E8" t="s">
        <v>25</v>
      </c>
    </row>
    <row r="9" spans="1:5" x14ac:dyDescent="0.25">
      <c r="A9" s="2" t="s">
        <v>19</v>
      </c>
      <c r="B9" s="1">
        <v>46027</v>
      </c>
      <c r="C9" t="s">
        <v>5</v>
      </c>
      <c r="D9" t="s">
        <v>12</v>
      </c>
      <c r="E9" t="s">
        <v>26</v>
      </c>
    </row>
    <row r="10" spans="1:5" x14ac:dyDescent="0.25">
      <c r="A10" s="2" t="s">
        <v>20</v>
      </c>
      <c r="B10" s="1">
        <v>46028</v>
      </c>
      <c r="C10" t="s">
        <v>6</v>
      </c>
      <c r="D10" t="s">
        <v>13</v>
      </c>
      <c r="E10" t="s">
        <v>26</v>
      </c>
    </row>
    <row r="11" spans="1:5" x14ac:dyDescent="0.25">
      <c r="A11" s="2" t="s">
        <v>21</v>
      </c>
      <c r="B11" s="1">
        <v>46032</v>
      </c>
      <c r="C11" t="s">
        <v>8</v>
      </c>
      <c r="D11" t="s">
        <v>14</v>
      </c>
      <c r="E11" t="s">
        <v>26</v>
      </c>
    </row>
    <row r="12" spans="1:5" x14ac:dyDescent="0.25">
      <c r="A12" s="2" t="s">
        <v>22</v>
      </c>
      <c r="B12" s="1">
        <v>46034</v>
      </c>
      <c r="C12" t="s">
        <v>5</v>
      </c>
      <c r="D12" t="s">
        <v>15</v>
      </c>
      <c r="E12" t="s">
        <v>27</v>
      </c>
    </row>
    <row r="13" spans="1:5" x14ac:dyDescent="0.25">
      <c r="A13" s="2" t="s">
        <v>23</v>
      </c>
      <c r="B13" s="1">
        <v>46037</v>
      </c>
      <c r="C13" t="s">
        <v>9</v>
      </c>
      <c r="D13" t="s">
        <v>29</v>
      </c>
      <c r="E13" t="s">
        <v>27</v>
      </c>
    </row>
  </sheetData>
  <dataValidations count="5">
    <dataValidation type="custom" allowBlank="1" showInputMessage="1" showErrorMessage="1" sqref="A5:A13">
      <formula1>COUNTIF($A:$A, A5)&lt;=1</formula1>
    </dataValidation>
    <dataValidation type="list" allowBlank="1" showInputMessage="1" showErrorMessage="1" sqref="D7:D13">
      <formula1>"ICT, PF, ENGLISH, AP, CALCULUS"</formula1>
    </dataValidation>
    <dataValidation type="list" allowBlank="1" showInputMessage="1" showErrorMessage="1" sqref="D6">
      <formula1>"ICT, PF, ENGLISH, AP, CALCULUS , IT LAB , PF LAB , AP LAB"</formula1>
    </dataValidation>
    <dataValidation type="date" allowBlank="1" showInputMessage="1" showErrorMessage="1" sqref="B5">
      <formula1>46020</formula1>
      <formula2>46037</formula2>
    </dataValidation>
    <dataValidation type="date" allowBlank="1" showInputMessage="1" showErrorMessage="1" sqref="B6:B13">
      <formula1>46020</formula1>
      <formula2>46038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"/>
  <sheetViews>
    <sheetView tabSelected="1" workbookViewId="0">
      <selection activeCell="C6" sqref="C6"/>
    </sheetView>
  </sheetViews>
  <sheetFormatPr defaultRowHeight="15" x14ac:dyDescent="0.25"/>
  <cols>
    <col min="1" max="1" width="11.42578125" style="4" bestFit="1" customWidth="1"/>
    <col min="2" max="2" width="9.140625" style="4"/>
    <col min="3" max="3" width="10.85546875" style="4" bestFit="1" customWidth="1"/>
    <col min="4" max="4" width="29.7109375" style="4" bestFit="1" customWidth="1"/>
    <col min="5" max="5" width="10.85546875" style="4" bestFit="1" customWidth="1"/>
    <col min="6" max="16384" width="9.140625" style="3"/>
  </cols>
  <sheetData>
    <row r="3" spans="1:5" x14ac:dyDescent="0.25">
      <c r="A3" s="4" t="s">
        <v>2</v>
      </c>
      <c r="B3" s="4" t="s">
        <v>1</v>
      </c>
      <c r="C3" s="4" t="s">
        <v>4</v>
      </c>
      <c r="D3" s="4" t="s">
        <v>0</v>
      </c>
      <c r="E3" s="4" t="s">
        <v>3</v>
      </c>
    </row>
    <row r="4" spans="1:5" x14ac:dyDescent="0.25">
      <c r="A4" s="8" t="s">
        <v>16</v>
      </c>
      <c r="B4" s="4" t="str">
        <f>VLOOKUP(A4,Sheet1!$A$6:$E$13,4,0)</f>
        <v xml:space="preserve">IT LAB </v>
      </c>
      <c r="C4" s="4" t="str">
        <f>VLOOKUP(A4,Sheet1!$A$6:$E$13,3,0)</f>
        <v>Monday</v>
      </c>
      <c r="D4" s="6">
        <f>VLOOKUP(A4,Sheet1!$A$6:$E$13,2,0)</f>
        <v>46020</v>
      </c>
      <c r="E4" s="4" t="str">
        <f>VLOOKUP(A4,Sheet1!$A$6:$E$13,5,0)</f>
        <v>10:45-12:15</v>
      </c>
    </row>
    <row r="5" spans="1:5" x14ac:dyDescent="0.25">
      <c r="A5" s="8" t="s">
        <v>18</v>
      </c>
      <c r="B5" s="4" t="str">
        <f>VLOOKUP(A5,Sheet1!$A$6:$E$13,4,0)</f>
        <v>AP LAB</v>
      </c>
      <c r="C5" s="4" t="str">
        <f>VLOOKUP(A5,Sheet1!$A$6:$E$13,3,0)</f>
        <v>Wednesday</v>
      </c>
      <c r="D5" s="7">
        <f>VLOOKUP(A5,Sheet1!$A$6:$E$13,2,0)</f>
        <v>46022</v>
      </c>
      <c r="E5" s="4" t="str">
        <f>VLOOKUP(A5,Sheet1!$A$6:$E$13,5,0)</f>
        <v>2:15-3:45</v>
      </c>
    </row>
    <row r="6" spans="1:5" x14ac:dyDescent="0.25">
      <c r="A6" s="8" t="s">
        <v>17</v>
      </c>
      <c r="B6" s="4" t="str">
        <f>VLOOKUP(A6,Sheet1!$A$6:$E$13,4,0)</f>
        <v>PF LAB</v>
      </c>
      <c r="C6" s="4" t="str">
        <f>VLOOKUP(A6,Sheet1!$A$6:$E$13,3,0)</f>
        <v>Tuesday</v>
      </c>
      <c r="D6" s="6">
        <f>VLOOKUP(A6,Sheet1!$A$6:$E$13,2,0)</f>
        <v>46021</v>
      </c>
      <c r="E6" s="4" t="str">
        <f>VLOOKUP(A6,Sheet1!$A$6:$E$13,5,0)</f>
        <v>10:45-12:15</v>
      </c>
    </row>
    <row r="7" spans="1:5" x14ac:dyDescent="0.25">
      <c r="A7" s="8" t="s">
        <v>22</v>
      </c>
      <c r="B7" s="4" t="str">
        <f>VLOOKUP(A7,Sheet1!$A$6:$E$13,4,0)</f>
        <v>AP</v>
      </c>
      <c r="C7" s="4" t="str">
        <f>VLOOKUP(A7,Sheet1!$A$6:$E$13,3,0)</f>
        <v>Monday</v>
      </c>
      <c r="D7" s="6">
        <f>VLOOKUP(A7,Sheet1!$A$6:$E$13,2,0)</f>
        <v>46034</v>
      </c>
      <c r="E7" s="4" t="str">
        <f>VLOOKUP(A7,Sheet1!$A$6:$E$13,5,0)</f>
        <v>9:30-12:30</v>
      </c>
    </row>
    <row r="8" spans="1:5" x14ac:dyDescent="0.25">
      <c r="A8" s="8" t="s">
        <v>23</v>
      </c>
      <c r="B8" s="4" t="str">
        <f>IF(ISERROR(VLOOKUP(A8,Sheet1!$A$6:$E$13,4,0)),"",(VLOOKUP(A8,Sheet1!$A$6:$E$13,4,0)))</f>
        <v>CALCULUS</v>
      </c>
      <c r="C8" s="4" t="str">
        <f>VLOOKUP(A8,Sheet1!$A$6:$E$13,3,0)</f>
        <v>Thursday</v>
      </c>
      <c r="D8" s="6">
        <f>VLOOKUP(A8,Sheet1!$A$6:$E$13,2,0)</f>
        <v>46037</v>
      </c>
      <c r="E8" s="4" t="str">
        <f>VLOOKUP(A8,Sheet1!$A$6:$E$13,5,0)</f>
        <v>9:30-12:30</v>
      </c>
    </row>
    <row r="9" spans="1:5" x14ac:dyDescent="0.25">
      <c r="A9" s="8" t="s">
        <v>19</v>
      </c>
      <c r="B9" s="4" t="str">
        <f>VLOOKUP(A9,Sheet1!$A$6:$E$13,4,0)</f>
        <v xml:space="preserve">ICT </v>
      </c>
      <c r="C9" s="4" t="str">
        <f>VLOOKUP(A9,Sheet1!$A$6:$E$13,3,0)</f>
        <v>Monday</v>
      </c>
      <c r="D9" s="6">
        <f>VLOOKUP(A9,Sheet1!$A$6:$E$13,2,0)</f>
        <v>46027</v>
      </c>
      <c r="E9" s="4" t="str">
        <f>VLOOKUP(A9,Sheet1!$A$6:$E$13,5,0)</f>
        <v>1:30-4:30</v>
      </c>
    </row>
    <row r="10" spans="1:5" x14ac:dyDescent="0.25">
      <c r="A10" s="8" t="s">
        <v>20</v>
      </c>
      <c r="B10" s="4" t="str">
        <f>VLOOKUP(A10,Sheet1!$A$6:$E$13,4,0)</f>
        <v>PF</v>
      </c>
      <c r="C10" s="4" t="str">
        <f>VLOOKUP(A10,Sheet1!$A$6:$E$13,3,0)</f>
        <v>Tuesday</v>
      </c>
      <c r="D10" s="6">
        <f>VLOOKUP(A10,Sheet1!$A$6:$E$13,2,0)</f>
        <v>46028</v>
      </c>
      <c r="E10" s="4" t="str">
        <f>VLOOKUP(A10,Sheet1!$A$6:$E$13,5,0)</f>
        <v>1:30-4:30</v>
      </c>
    </row>
    <row r="11" spans="1:5" x14ac:dyDescent="0.25">
      <c r="A11" s="8" t="s">
        <v>16</v>
      </c>
      <c r="B11" s="4" t="str">
        <f>VLOOKUP(A11,Sheet1!$A$6:$E$13,4,0)</f>
        <v xml:space="preserve">IT LAB </v>
      </c>
      <c r="C11" s="4" t="str">
        <f>VLOOKUP(A11,Sheet1!$A$6:$E$13,3,0)</f>
        <v>Monday</v>
      </c>
      <c r="D11" s="6">
        <f>VLOOKUP(A11,Sheet1!$A$6:$E$13,2,0)</f>
        <v>46020</v>
      </c>
      <c r="E11" s="4" t="str">
        <f>VLOOKUP(A11,Sheet1!$A$6:$E$13,5,0)</f>
        <v>10:45-12:15</v>
      </c>
    </row>
    <row r="12" spans="1:5" x14ac:dyDescent="0.25">
      <c r="A12" s="5" t="s">
        <v>20</v>
      </c>
      <c r="B12" s="4" t="str">
        <f>VLOOKUP(A12,Sheet1!$A$6:$E$13,4,0)</f>
        <v>PF</v>
      </c>
      <c r="C12" s="4" t="str">
        <f>VLOOKUP(A12,Sheet1!$A$6:$E$13,3,0)</f>
        <v>Tuesday</v>
      </c>
      <c r="D12" s="6">
        <f>VLOOKUP(A12,Sheet1!$A$6:$E$13,2,0)</f>
        <v>46028</v>
      </c>
      <c r="E12" s="4" t="str">
        <f>VLOOKUP(A12,Sheet1!$A$6:$E$13,5,0)</f>
        <v>1:30-4:30</v>
      </c>
    </row>
    <row r="13" spans="1:5" x14ac:dyDescent="0.25">
      <c r="A13" s="5" t="s">
        <v>22</v>
      </c>
      <c r="B13" s="4" t="str">
        <f>VLOOKUP(A13,Sheet1!$A$6:$E$13,4,0)</f>
        <v>AP</v>
      </c>
      <c r="C13" s="4" t="str">
        <f>VLOOKUP(A13,Sheet1!$A$6:$E$13,3,0)</f>
        <v>Monday</v>
      </c>
      <c r="D13" s="6">
        <f>VLOOKUP(A13,Sheet1!$A$6:$E$13,2,0)</f>
        <v>46034</v>
      </c>
      <c r="E13" s="4" t="str">
        <f>VLOOKUP(A13,Sheet1!$A$6:$E$13,5,0)</f>
        <v>9:30-12:30</v>
      </c>
    </row>
    <row r="14" spans="1:5" x14ac:dyDescent="0.25">
      <c r="A14" s="5" t="s">
        <v>22</v>
      </c>
      <c r="B14" s="4" t="str">
        <f>VLOOKUP(A14,Sheet1!$A$6:$E$13,4,0)</f>
        <v>AP</v>
      </c>
      <c r="C14" s="4" t="str">
        <f>VLOOKUP(A14,Sheet1!$A$6:$E$13,3,0)</f>
        <v>Monday</v>
      </c>
      <c r="D14" s="6">
        <f>VLOOKUP(A14,Sheet1!$A$6:$E$13,2,0)</f>
        <v>46034</v>
      </c>
      <c r="E14" s="4" t="str">
        <f>VLOOKUP(A14,Sheet1!$A$6:$E$13,5,0)</f>
        <v>9:30-12:30</v>
      </c>
    </row>
    <row r="15" spans="1:5" x14ac:dyDescent="0.25">
      <c r="B15" s="4" t="e">
        <f>VLOOKUP(A15,Sheet1!$A$6:$E$13,4,0)</f>
        <v>#N/A</v>
      </c>
      <c r="C15" s="4" t="e">
        <f>VLOOKUP(A15,Sheet1!$A$6:$E$13,3,0)</f>
        <v>#N/A</v>
      </c>
      <c r="D15" s="6" t="e">
        <f>VLOOKUP(A15,Sheet1!$A$6:$E$13,2,0)</f>
        <v>#N/A</v>
      </c>
      <c r="E15" s="4" t="e">
        <f>VLOOKUP(A15,Sheet1!$A$6:$E$13,5,0)</f>
        <v>#N/A</v>
      </c>
    </row>
    <row r="16" spans="1:5" x14ac:dyDescent="0.25">
      <c r="B16" s="4" t="e">
        <f>VLOOKUP(A16,Sheet1!$A$6:$E$13,4,0)</f>
        <v>#N/A</v>
      </c>
      <c r="C16" s="4" t="e">
        <f>VLOOKUP(A16,Sheet1!$A$6:$E$13,3,0)</f>
        <v>#N/A</v>
      </c>
      <c r="D16" s="6" t="e">
        <f>VLOOKUP(A16,Sheet1!$A$6:$E$13,2,0)</f>
        <v>#N/A</v>
      </c>
      <c r="E16" s="4" t="e">
        <f>VLOOKUP(A16,Sheet1!$A$6:$E$13,5,0)</f>
        <v>#N/A</v>
      </c>
    </row>
    <row r="17" spans="2:5" x14ac:dyDescent="0.25">
      <c r="B17" s="4" t="e">
        <f>VLOOKUP(A17,Sheet1!$A$6:$E$13,4,0)</f>
        <v>#N/A</v>
      </c>
      <c r="C17" s="4" t="e">
        <f>VLOOKUP(A17,Sheet1!$A$6:$E$13,3,0)</f>
        <v>#N/A</v>
      </c>
      <c r="D17" s="6" t="e">
        <f>VLOOKUP(A17,Sheet1!$A$6:$E$13,2,0)</f>
        <v>#N/A</v>
      </c>
      <c r="E17" s="4" t="e">
        <f>VLOOKUP(A17,Sheet1!$A$6:$E$13,5,0)</f>
        <v>#N/A</v>
      </c>
    </row>
    <row r="18" spans="2:5" x14ac:dyDescent="0.25">
      <c r="B18" s="4" t="e">
        <f>VLOOKUP(A18,Sheet1!$A$6:$E$13,4,0)</f>
        <v>#N/A</v>
      </c>
      <c r="C18" s="4" t="e">
        <f>VLOOKUP(A18,Sheet1!$A$6:$E$13,3,0)</f>
        <v>#N/A</v>
      </c>
      <c r="D18" s="6" t="e">
        <f>VLOOKUP(A18,Sheet1!$A$6:$E$13,2,0)</f>
        <v>#N/A</v>
      </c>
      <c r="E18" s="4" t="e">
        <f>VLOOKUP(A18,Sheet1!$A$6:$E$13,5,0)</f>
        <v>#N/A</v>
      </c>
    </row>
    <row r="19" spans="2:5" x14ac:dyDescent="0.25">
      <c r="B19" s="4" t="e">
        <f>VLOOKUP(A19,Sheet1!$A$6:$E$13,4,0)</f>
        <v>#N/A</v>
      </c>
      <c r="C19" s="4" t="e">
        <f>VLOOKUP(A19,Sheet1!$A$6:$E$13,3,0)</f>
        <v>#N/A</v>
      </c>
      <c r="D19" s="6" t="e">
        <f>VLOOKUP(A19,Sheet1!$A$6:$E$13,2,0)</f>
        <v>#N/A</v>
      </c>
      <c r="E19" s="4" t="e">
        <f>VLOOKUP(A19,Sheet1!$A$6:$E$13,5,0)</f>
        <v>#N/A</v>
      </c>
    </row>
  </sheetData>
  <sheetProtection algorithmName="SHA-512" hashValue="O8uhVxpA4EgkEI5GQ1oOtnQGk38AbkM6QYNP2xzs4f74lHieuOM0mCFP6vDUNDdPdxs/TMsEZHklFxW4KDLfRQ==" saltValue="3bkbSBhiw0LvH16ANsdrjg==" spinCount="100000" sheet="1" objects="1" scenario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Sheet1!$A$6:$A$13</xm:f>
          </x14:formula1>
          <xm:sqref>A4:A17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29 12 2025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cp:lastPrinted>2025-12-28T11:51:53Z</cp:lastPrinted>
  <dcterms:created xsi:type="dcterms:W3CDTF">2025-12-28T10:25:51Z</dcterms:created>
  <dcterms:modified xsi:type="dcterms:W3CDTF">2025-12-28T18:17:28Z</dcterms:modified>
</cp:coreProperties>
</file>